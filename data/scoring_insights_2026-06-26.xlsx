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 the Model Rewards" sheetId="1" state="visible" r:id="rId1"/>
    <sheet name="Preset vs Observed" sheetId="2" state="visible" r:id="rId2"/>
    <sheet name="Dimension Correlations" sheetId="3" state="visible" r:id="rId3"/>
    <sheet name="Score Distribution" sheetId="4" state="visible" r:id="rId4"/>
    <sheet name="By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i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What the model rewards — avg score per dimension (last day vs all-time)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'What the Model Rewards'!B2</f>
            </strRef>
          </tx>
          <spPr>
            <a:ln>
              <a:prstDash val="solid"/>
            </a:ln>
          </spPr>
          <cat>
            <numRef>
              <f>'What the Model Rewards'!$A$3:$A$11</f>
            </numRef>
          </cat>
          <val>
            <numRef>
              <f>'What the Model Rewards'!$B$3:$B$11</f>
            </numRef>
          </val>
        </ser>
        <ser>
          <idx val="1"/>
          <order val="1"/>
          <tx>
            <strRef>
              <f>'What the Model Rewards'!C2</f>
            </strRef>
          </tx>
          <spPr>
            <a:ln>
              <a:prstDash val="solid"/>
            </a:ln>
          </spPr>
          <cat>
            <numRef>
              <f>'What the Model Rewards'!$A$3:$A$11</f>
            </numRef>
          </cat>
          <val>
            <numRef>
              <f>'What the Model Rewards'!$C$3:$C$11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score (0-10)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Preset priority (AHP) vs observed influence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'Preset vs Observed'!B2</f>
            </strRef>
          </tx>
          <spPr>
            <a:ln>
              <a:prstDash val="solid"/>
            </a:ln>
          </spPr>
          <cat>
            <numRef>
              <f>'Preset vs Observed'!$A$3:$A$11</f>
            </numRef>
          </cat>
          <val>
            <numRef>
              <f>'Preset vs Observed'!$B$3:$B$11</f>
            </numRef>
          </val>
        </ser>
        <ser>
          <idx val="1"/>
          <order val="1"/>
          <tx>
            <strRef>
              <f>'Preset vs Observed'!C2</f>
            </strRef>
          </tx>
          <spPr>
            <a:ln>
              <a:prstDash val="solid"/>
            </a:ln>
          </spPr>
          <cat>
            <numRef>
              <f>'Preset vs Observed'!$A$3:$A$11</f>
            </numRef>
          </cat>
          <val>
            <numRef>
              <f>'Preset vs Observed'!$C$3:$C$11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LLM relevance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 Distribution'!B1</f>
            </strRef>
          </tx>
          <spPr>
            <a:ln>
              <a:prstDash val="solid"/>
            </a:ln>
          </spPr>
          <cat>
            <numRef>
              <f>'Score Distribution'!$A$2:$A$11</f>
            </numRef>
          </cat>
          <val>
            <numRef>
              <f>'Score Distribution'!$B$2:$B$11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Average reward per dimension (0-10 score the model gave). Last day: 100 articles  |  All-time: 352 articles.   Variance explained — dimensions: R²=0.20;  + intelligence area: R²=0.43.</t>
        </is>
      </c>
    </row>
    <row r="2">
      <c r="A2" s="2" t="inlineStr">
        <is>
          <t>Dimension</t>
        </is>
      </c>
      <c r="B2" s="2" t="inlineStr">
        <is>
          <t>Reward (last day)</t>
        </is>
      </c>
      <c r="C2" s="2" t="inlineStr">
        <is>
          <t>Reward (all-time)</t>
        </is>
      </c>
      <c r="D2" s="2" t="inlineStr">
        <is>
          <t>Influence on relevance</t>
        </is>
      </c>
      <c r="E2" s="2" t="inlineStr">
        <is>
          <t>Preset weight (AHP)</t>
        </is>
      </c>
    </row>
    <row r="3">
      <c r="A3" s="3" t="inlineStr">
        <is>
          <t>proximity</t>
        </is>
      </c>
      <c r="B3" s="3" t="n">
        <v>0.12</v>
      </c>
      <c r="C3" s="3" t="n">
        <v>1.42</v>
      </c>
      <c r="D3" s="4" t="n">
        <v>0.047</v>
      </c>
      <c r="E3" s="4" t="n">
        <v>0.0523</v>
      </c>
    </row>
    <row r="4">
      <c r="A4" s="3" t="inlineStr">
        <is>
          <t>magnitude</t>
        </is>
      </c>
      <c r="B4" s="3" t="n">
        <v>0</v>
      </c>
      <c r="C4" s="3" t="n">
        <v>1.34</v>
      </c>
      <c r="D4" s="4" t="n">
        <v>0.1119</v>
      </c>
      <c r="E4" s="4" t="n">
        <v>0.1144</v>
      </c>
    </row>
    <row r="5">
      <c r="A5" s="3" t="inlineStr">
        <is>
          <t>strategic_impact</t>
        </is>
      </c>
      <c r="B5" s="3" t="n">
        <v>0</v>
      </c>
      <c r="C5" s="3" t="n">
        <v>1.34</v>
      </c>
      <c r="D5" s="4" t="n">
        <v>0.1186</v>
      </c>
      <c r="E5" s="4" t="n">
        <v>0.1295</v>
      </c>
    </row>
    <row r="6">
      <c r="A6" s="3" t="inlineStr">
        <is>
          <t>competitive_relevance</t>
        </is>
      </c>
      <c r="B6" s="3" t="n">
        <v>0</v>
      </c>
      <c r="C6" s="3" t="n">
        <v>1.15</v>
      </c>
      <c r="D6" s="4" t="n">
        <v>0.1191</v>
      </c>
      <c r="E6" s="4" t="n">
        <v>0.1245</v>
      </c>
    </row>
    <row r="7">
      <c r="A7" s="3" t="inlineStr">
        <is>
          <t>financial_impact</t>
        </is>
      </c>
      <c r="B7" s="3" t="n">
        <v>0</v>
      </c>
      <c r="C7" s="3" t="n">
        <v>1.14</v>
      </c>
      <c r="D7" s="4" t="n">
        <v>0.1022</v>
      </c>
      <c r="E7" s="4" t="n">
        <v>0.1396</v>
      </c>
    </row>
    <row r="8">
      <c r="A8" s="3" t="inlineStr">
        <is>
          <t>operational_impact</t>
        </is>
      </c>
      <c r="B8" s="3" t="n">
        <v>0</v>
      </c>
      <c r="C8" s="3" t="n">
        <v>1.12</v>
      </c>
      <c r="D8" s="4" t="n">
        <v>0.1279</v>
      </c>
      <c r="E8" s="4" t="n">
        <v>0.0929</v>
      </c>
    </row>
    <row r="9">
      <c r="A9" s="3" t="inlineStr">
        <is>
          <t>time_sensitivity</t>
        </is>
      </c>
      <c r="B9" s="3" t="n">
        <v>0</v>
      </c>
      <c r="C9" s="3" t="n">
        <v>1.1</v>
      </c>
      <c r="D9" s="4" t="n">
        <v>0.1357</v>
      </c>
      <c r="E9" s="4" t="n">
        <v>0.08699999999999999</v>
      </c>
    </row>
    <row r="10">
      <c r="A10" s="3" t="inlineStr">
        <is>
          <t>actionability</t>
        </is>
      </c>
      <c r="B10" s="3" t="n">
        <v>0</v>
      </c>
      <c r="C10" s="3" t="n">
        <v>1.05</v>
      </c>
      <c r="D10" s="4" t="n">
        <v>0.1384</v>
      </c>
      <c r="E10" s="4" t="n">
        <v>0.1295</v>
      </c>
    </row>
    <row r="11">
      <c r="A11" s="3" t="inlineStr">
        <is>
          <t>direct_relevance</t>
        </is>
      </c>
      <c r="B11" s="3" t="n">
        <v>0</v>
      </c>
      <c r="C11" s="3" t="n">
        <v>1</v>
      </c>
      <c r="D11" s="4" t="n">
        <v>0.09909999999999999</v>
      </c>
      <c r="E11" s="4" t="n">
        <v>0.1302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Our PRESET priorities (AHP weights) vs what the data shows actually drives the score.</t>
        </is>
      </c>
    </row>
    <row r="2">
      <c r="A2" s="2" t="inlineStr">
        <is>
          <t>Dimension</t>
        </is>
      </c>
      <c r="B2" s="2" t="inlineStr">
        <is>
          <t>Preset weight (AHP)</t>
        </is>
      </c>
      <c r="C2" s="2" t="inlineStr">
        <is>
          <t>Observed influence</t>
        </is>
      </c>
    </row>
    <row r="3">
      <c r="A3" s="3" t="inlineStr">
        <is>
          <t>financial_impact</t>
        </is>
      </c>
      <c r="B3" s="4" t="n">
        <v>0.1396</v>
      </c>
      <c r="C3" s="4" t="n">
        <v>0.1022</v>
      </c>
    </row>
    <row r="4">
      <c r="A4" s="3" t="inlineStr">
        <is>
          <t>direct_relevance</t>
        </is>
      </c>
      <c r="B4" s="4" t="n">
        <v>0.1302</v>
      </c>
      <c r="C4" s="4" t="n">
        <v>0.09909999999999999</v>
      </c>
    </row>
    <row r="5">
      <c r="A5" s="3" t="inlineStr">
        <is>
          <t>actionability</t>
        </is>
      </c>
      <c r="B5" s="4" t="n">
        <v>0.1295</v>
      </c>
      <c r="C5" s="4" t="n">
        <v>0.1384</v>
      </c>
    </row>
    <row r="6">
      <c r="A6" s="3" t="inlineStr">
        <is>
          <t>strategic_impact</t>
        </is>
      </c>
      <c r="B6" s="4" t="n">
        <v>0.1295</v>
      </c>
      <c r="C6" s="4" t="n">
        <v>0.1186</v>
      </c>
    </row>
    <row r="7">
      <c r="A7" s="3" t="inlineStr">
        <is>
          <t>competitive_relevance</t>
        </is>
      </c>
      <c r="B7" s="4" t="n">
        <v>0.1245</v>
      </c>
      <c r="C7" s="4" t="n">
        <v>0.1191</v>
      </c>
    </row>
    <row r="8">
      <c r="A8" s="3" t="inlineStr">
        <is>
          <t>magnitude</t>
        </is>
      </c>
      <c r="B8" s="4" t="n">
        <v>0.1144</v>
      </c>
      <c r="C8" s="4" t="n">
        <v>0.1119</v>
      </c>
    </row>
    <row r="9">
      <c r="A9" s="3" t="inlineStr">
        <is>
          <t>operational_impact</t>
        </is>
      </c>
      <c r="B9" s="4" t="n">
        <v>0.0929</v>
      </c>
      <c r="C9" s="4" t="n">
        <v>0.1279</v>
      </c>
    </row>
    <row r="10">
      <c r="A10" s="3" t="inlineStr">
        <is>
          <t>time_sensitivity</t>
        </is>
      </c>
      <c r="B10" s="4" t="n">
        <v>0.08699999999999999</v>
      </c>
      <c r="C10" s="4" t="n">
        <v>0.1357</v>
      </c>
    </row>
    <row r="11">
      <c r="A11" s="3" t="inlineStr">
        <is>
          <t>proximity</t>
        </is>
      </c>
      <c r="B11" s="4" t="n">
        <v>0.0523</v>
      </c>
      <c r="C11" s="4" t="n">
        <v>0.047</v>
      </c>
    </row>
    <row r="13">
      <c r="A13" s="1" t="inlineStr">
        <is>
          <t>Big gaps = where our stated priorities and the model's actual behavior diverge.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/>
      <c r="B1" s="2" t="inlineStr">
        <is>
          <t>financial_impact</t>
        </is>
      </c>
      <c r="C1" s="2" t="inlineStr">
        <is>
          <t>strategic_impact</t>
        </is>
      </c>
      <c r="D1" s="2" t="inlineStr">
        <is>
          <t>competitive_relevance</t>
        </is>
      </c>
      <c r="E1" s="2" t="inlineStr">
        <is>
          <t>operational_impact</t>
        </is>
      </c>
      <c r="F1" s="2" t="inlineStr">
        <is>
          <t>time_sensitivity</t>
        </is>
      </c>
      <c r="G1" s="2" t="inlineStr">
        <is>
          <t>proximity</t>
        </is>
      </c>
      <c r="H1" s="2" t="inlineStr">
        <is>
          <t>actionability</t>
        </is>
      </c>
      <c r="I1" s="2" t="inlineStr">
        <is>
          <t>direct_relevance</t>
        </is>
      </c>
      <c r="J1" s="2" t="inlineStr">
        <is>
          <t>magnitude</t>
        </is>
      </c>
    </row>
    <row r="2">
      <c r="A2" s="5" t="inlineStr">
        <is>
          <t>financial_impact</t>
        </is>
      </c>
      <c r="B2" t="n">
        <v>1</v>
      </c>
      <c r="C2" t="n">
        <v>0.92</v>
      </c>
      <c r="D2" t="n">
        <v>0.83</v>
      </c>
      <c r="E2" t="n">
        <v>0.9399999999999999</v>
      </c>
      <c r="F2" t="n">
        <v>0.92</v>
      </c>
      <c r="G2" t="n">
        <v>0.61</v>
      </c>
      <c r="H2" t="n">
        <v>0.92</v>
      </c>
      <c r="I2" t="n">
        <v>0.83</v>
      </c>
      <c r="J2" t="n">
        <v>0.97</v>
      </c>
    </row>
    <row r="3">
      <c r="A3" s="5" t="inlineStr">
        <is>
          <t>strategic_impact</t>
        </is>
      </c>
      <c r="B3" t="n">
        <v>0.92</v>
      </c>
      <c r="C3" t="n">
        <v>1</v>
      </c>
      <c r="D3" t="n">
        <v>0.96</v>
      </c>
      <c r="E3" t="n">
        <v>0.9</v>
      </c>
      <c r="F3" t="n">
        <v>0.92</v>
      </c>
      <c r="G3" t="n">
        <v>0.71</v>
      </c>
      <c r="H3" t="n">
        <v>0.91</v>
      </c>
      <c r="I3" t="n">
        <v>0.9</v>
      </c>
      <c r="J3" t="n">
        <v>0.96</v>
      </c>
    </row>
    <row r="4">
      <c r="A4" s="5" t="inlineStr">
        <is>
          <t>competitive_relevance</t>
        </is>
      </c>
      <c r="B4" t="n">
        <v>0.83</v>
      </c>
      <c r="C4" t="n">
        <v>0.96</v>
      </c>
      <c r="D4" t="n">
        <v>1</v>
      </c>
      <c r="E4" t="n">
        <v>0.82</v>
      </c>
      <c r="F4" t="n">
        <v>0.86</v>
      </c>
      <c r="G4" t="n">
        <v>0.79</v>
      </c>
      <c r="H4" t="n">
        <v>0.85</v>
      </c>
      <c r="I4" t="n">
        <v>0.9</v>
      </c>
      <c r="J4" t="n">
        <v>0.88</v>
      </c>
    </row>
    <row r="5">
      <c r="A5" s="5" t="inlineStr">
        <is>
          <t>operational_impact</t>
        </is>
      </c>
      <c r="B5" t="n">
        <v>0.9399999999999999</v>
      </c>
      <c r="C5" t="n">
        <v>0.9</v>
      </c>
      <c r="D5" t="n">
        <v>0.82</v>
      </c>
      <c r="E5" t="n">
        <v>1</v>
      </c>
      <c r="F5" t="n">
        <v>0.96</v>
      </c>
      <c r="G5" t="n">
        <v>0.64</v>
      </c>
      <c r="H5" t="n">
        <v>0.97</v>
      </c>
      <c r="I5" t="n">
        <v>0.83</v>
      </c>
      <c r="J5" t="n">
        <v>0.93</v>
      </c>
    </row>
    <row r="6">
      <c r="A6" s="5" t="inlineStr">
        <is>
          <t>time_sensitivity</t>
        </is>
      </c>
      <c r="B6" t="n">
        <v>0.92</v>
      </c>
      <c r="C6" t="n">
        <v>0.92</v>
      </c>
      <c r="D6" t="n">
        <v>0.86</v>
      </c>
      <c r="E6" t="n">
        <v>0.96</v>
      </c>
      <c r="F6" t="n">
        <v>1</v>
      </c>
      <c r="G6" t="n">
        <v>0.7</v>
      </c>
      <c r="H6" t="n">
        <v>0.97</v>
      </c>
      <c r="I6" t="n">
        <v>0.86</v>
      </c>
      <c r="J6" t="n">
        <v>0.9399999999999999</v>
      </c>
    </row>
    <row r="7">
      <c r="A7" s="5" t="inlineStr">
        <is>
          <t>proximity</t>
        </is>
      </c>
      <c r="B7" t="n">
        <v>0.61</v>
      </c>
      <c r="C7" t="n">
        <v>0.71</v>
      </c>
      <c r="D7" t="n">
        <v>0.79</v>
      </c>
      <c r="E7" t="n">
        <v>0.64</v>
      </c>
      <c r="F7" t="n">
        <v>0.7</v>
      </c>
      <c r="G7" t="n">
        <v>1</v>
      </c>
      <c r="H7" t="n">
        <v>0.65</v>
      </c>
      <c r="I7" t="n">
        <v>0.8100000000000001</v>
      </c>
      <c r="J7" t="n">
        <v>0.66</v>
      </c>
    </row>
    <row r="8">
      <c r="A8" s="5" t="inlineStr">
        <is>
          <t>actionability</t>
        </is>
      </c>
      <c r="B8" t="n">
        <v>0.92</v>
      </c>
      <c r="C8" t="n">
        <v>0.91</v>
      </c>
      <c r="D8" t="n">
        <v>0.85</v>
      </c>
      <c r="E8" t="n">
        <v>0.97</v>
      </c>
      <c r="F8" t="n">
        <v>0.97</v>
      </c>
      <c r="G8" t="n">
        <v>0.65</v>
      </c>
      <c r="H8" t="n">
        <v>1</v>
      </c>
      <c r="I8" t="n">
        <v>0.86</v>
      </c>
      <c r="J8" t="n">
        <v>0.93</v>
      </c>
    </row>
    <row r="9">
      <c r="A9" s="5" t="inlineStr">
        <is>
          <t>direct_relevance</t>
        </is>
      </c>
      <c r="B9" t="n">
        <v>0.83</v>
      </c>
      <c r="C9" t="n">
        <v>0.9</v>
      </c>
      <c r="D9" t="n">
        <v>0.9</v>
      </c>
      <c r="E9" t="n">
        <v>0.83</v>
      </c>
      <c r="F9" t="n">
        <v>0.86</v>
      </c>
      <c r="G9" t="n">
        <v>0.8100000000000001</v>
      </c>
      <c r="H9" t="n">
        <v>0.86</v>
      </c>
      <c r="I9" t="n">
        <v>1</v>
      </c>
      <c r="J9" t="n">
        <v>0.85</v>
      </c>
    </row>
    <row r="10">
      <c r="A10" s="5" t="inlineStr">
        <is>
          <t>magnitude</t>
        </is>
      </c>
      <c r="B10" t="n">
        <v>0.97</v>
      </c>
      <c r="C10" t="n">
        <v>0.96</v>
      </c>
      <c r="D10" t="n">
        <v>0.88</v>
      </c>
      <c r="E10" t="n">
        <v>0.93</v>
      </c>
      <c r="F10" t="n">
        <v>0.9399999999999999</v>
      </c>
      <c r="G10" t="n">
        <v>0.66</v>
      </c>
      <c r="H10" t="n">
        <v>0.93</v>
      </c>
      <c r="I10" t="n">
        <v>0.85</v>
      </c>
      <c r="J10" t="n">
        <v>1</v>
      </c>
    </row>
    <row r="12">
      <c r="A12" s="1" t="inlineStr">
        <is>
          <t>Read: +1 (blue) = move together, -1 (red) = move oppositely.</t>
        </is>
      </c>
    </row>
  </sheetData>
  <conditionalFormatting sqref="B2:J10">
    <cfRule type="colorScale" priority="1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2" t="inlineStr">
        <is>
          <t>Relevance score bin</t>
        </is>
      </c>
      <c r="B1" s="2" t="inlineStr">
        <is>
          <t>Article count</t>
        </is>
      </c>
    </row>
    <row r="2">
      <c r="A2" s="3" t="inlineStr">
        <is>
          <t>0-1</t>
        </is>
      </c>
      <c r="B2" s="3" t="n">
        <v>22</v>
      </c>
    </row>
    <row r="3">
      <c r="A3" s="3" t="inlineStr">
        <is>
          <t>1-2</t>
        </is>
      </c>
      <c r="B3" s="3" t="n">
        <v>124</v>
      </c>
    </row>
    <row r="4">
      <c r="A4" s="3" t="inlineStr">
        <is>
          <t>2-3</t>
        </is>
      </c>
      <c r="B4" s="3" t="n">
        <v>33</v>
      </c>
    </row>
    <row r="5">
      <c r="A5" s="3" t="inlineStr">
        <is>
          <t>3-4</t>
        </is>
      </c>
      <c r="B5" s="3" t="n">
        <v>65</v>
      </c>
    </row>
    <row r="6">
      <c r="A6" s="3" t="inlineStr">
        <is>
          <t>4-5</t>
        </is>
      </c>
      <c r="B6" s="3" t="n">
        <v>12</v>
      </c>
    </row>
    <row r="7">
      <c r="A7" s="3" t="inlineStr">
        <is>
          <t>5-6</t>
        </is>
      </c>
      <c r="B7" s="3" t="n">
        <v>43</v>
      </c>
    </row>
    <row r="8">
      <c r="A8" s="3" t="inlineStr">
        <is>
          <t>6-7</t>
        </is>
      </c>
      <c r="B8" s="3" t="n">
        <v>15</v>
      </c>
    </row>
    <row r="9">
      <c r="A9" s="3" t="inlineStr">
        <is>
          <t>7-8</t>
        </is>
      </c>
      <c r="B9" s="3" t="n">
        <v>18</v>
      </c>
    </row>
    <row r="10">
      <c r="A10" s="3" t="inlineStr">
        <is>
          <t>8-9</t>
        </is>
      </c>
      <c r="B10" s="3" t="n">
        <v>15</v>
      </c>
    </row>
    <row r="11">
      <c r="A11" s="3" t="inlineStr">
        <is>
          <t>9-10</t>
        </is>
      </c>
      <c r="B11" s="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" t="inlineStr">
        <is>
          <t>Intelligence area</t>
        </is>
      </c>
      <c r="B1" s="2" t="inlineStr">
        <is>
          <t>Articles</t>
        </is>
      </c>
      <c r="C1" s="2" t="inlineStr">
        <is>
          <t>Avg relevance</t>
        </is>
      </c>
      <c r="D1" s="2" t="inlineStr">
        <is>
          <t>financial_impact</t>
        </is>
      </c>
      <c r="E1" s="2" t="inlineStr">
        <is>
          <t>strategic_impact</t>
        </is>
      </c>
      <c r="F1" s="2" t="inlineStr">
        <is>
          <t>competitive_relevance</t>
        </is>
      </c>
      <c r="G1" s="2" t="inlineStr">
        <is>
          <t>operational_impact</t>
        </is>
      </c>
      <c r="H1" s="2" t="inlineStr">
        <is>
          <t>time_sensitivity</t>
        </is>
      </c>
      <c r="I1" s="2" t="inlineStr">
        <is>
          <t>proximity</t>
        </is>
      </c>
      <c r="J1" s="2" t="inlineStr">
        <is>
          <t>actionability</t>
        </is>
      </c>
      <c r="K1" s="2" t="inlineStr">
        <is>
          <t>direct_relevance</t>
        </is>
      </c>
      <c r="L1" s="2" t="inlineStr">
        <is>
          <t>magnitude</t>
        </is>
      </c>
    </row>
    <row r="2">
      <c r="A2" t="inlineStr">
        <is>
          <t>innovation_ai</t>
        </is>
      </c>
      <c r="B2" t="n">
        <v>40</v>
      </c>
      <c r="C2" t="n">
        <v>3.45</v>
      </c>
      <c r="D2" t="n">
        <v>2</v>
      </c>
      <c r="E2" t="n">
        <v>2.4</v>
      </c>
      <c r="F2" t="n">
        <v>1.8</v>
      </c>
      <c r="G2" t="n">
        <v>1.5</v>
      </c>
      <c r="H2" t="n">
        <v>1.5</v>
      </c>
      <c r="I2" t="n">
        <v>0.9</v>
      </c>
      <c r="J2" t="n">
        <v>1.2</v>
      </c>
      <c r="K2" t="n">
        <v>1</v>
      </c>
      <c r="L2" t="n">
        <v>2.5</v>
      </c>
    </row>
    <row r="3">
      <c r="A3" t="inlineStr">
        <is>
          <t>national_policy</t>
        </is>
      </c>
      <c r="B3" t="n">
        <v>77</v>
      </c>
      <c r="C3" t="n">
        <v>4.13</v>
      </c>
      <c r="D3" t="n">
        <v>2.3</v>
      </c>
      <c r="E3" t="n">
        <v>2.4</v>
      </c>
      <c r="F3" t="n">
        <v>1.9</v>
      </c>
      <c r="G3" t="n">
        <v>2.4</v>
      </c>
      <c r="H3" t="n">
        <v>2.2</v>
      </c>
      <c r="I3" t="n">
        <v>1.5</v>
      </c>
      <c r="J3" t="n">
        <v>2.3</v>
      </c>
      <c r="K3" t="n">
        <v>1.8</v>
      </c>
      <c r="L3" t="n">
        <v>2.5</v>
      </c>
    </row>
    <row r="4">
      <c r="A4" t="inlineStr">
        <is>
          <t>payer_insurance</t>
        </is>
      </c>
      <c r="B4" t="n">
        <v>20</v>
      </c>
      <c r="C4" t="n">
        <v>4.9</v>
      </c>
      <c r="D4" t="n">
        <v>2.3</v>
      </c>
      <c r="E4" t="n">
        <v>2.1</v>
      </c>
      <c r="F4" t="n">
        <v>1.8</v>
      </c>
      <c r="G4" t="n">
        <v>2.1</v>
      </c>
      <c r="H4" t="n">
        <v>1.9</v>
      </c>
      <c r="I4" t="n">
        <v>1.6</v>
      </c>
      <c r="J4" t="n">
        <v>2</v>
      </c>
      <c r="K4" t="n">
        <v>1.9</v>
      </c>
      <c r="L4" t="n">
        <v>2.1</v>
      </c>
    </row>
    <row r="5">
      <c r="A5" t="inlineStr">
        <is>
          <t>public_health_risk</t>
        </is>
      </c>
      <c r="B5" t="n">
        <v>4</v>
      </c>
      <c r="C5" t="n">
        <v>3.25</v>
      </c>
      <c r="D5" t="n">
        <v>1</v>
      </c>
      <c r="E5" t="n">
        <v>1.5</v>
      </c>
      <c r="F5" t="n">
        <v>0.8</v>
      </c>
      <c r="G5" t="n">
        <v>1.8</v>
      </c>
      <c r="H5" t="n">
        <v>2.2</v>
      </c>
      <c r="I5" t="n">
        <v>1</v>
      </c>
      <c r="J5" t="n">
        <v>1.5</v>
      </c>
      <c r="K5" t="n">
        <v>0.8</v>
      </c>
      <c r="L5" t="n">
        <v>1.8</v>
      </c>
    </row>
    <row r="6">
      <c r="A6" t="inlineStr">
        <is>
          <t>reputation_media</t>
        </is>
      </c>
      <c r="B6" t="n">
        <v>148</v>
      </c>
      <c r="C6" t="n">
        <v>1.43</v>
      </c>
      <c r="D6" t="n">
        <v>0.2</v>
      </c>
      <c r="E6" t="n">
        <v>0.2</v>
      </c>
      <c r="F6" t="n">
        <v>0.1</v>
      </c>
      <c r="G6" t="n">
        <v>0.2</v>
      </c>
      <c r="H6" t="n">
        <v>0.3</v>
      </c>
      <c r="I6" t="n">
        <v>0.9</v>
      </c>
      <c r="J6" t="n">
        <v>0.2</v>
      </c>
      <c r="K6" t="n">
        <v>0.1</v>
      </c>
      <c r="L6" t="n">
        <v>0.3</v>
      </c>
    </row>
    <row r="7">
      <c r="A7" t="inlineStr">
        <is>
          <t>south_florida_competitive</t>
        </is>
      </c>
      <c r="B7" t="n">
        <v>63</v>
      </c>
      <c r="C7" t="n">
        <v>3.98</v>
      </c>
      <c r="D7" t="n">
        <v>1</v>
      </c>
      <c r="E7" t="n">
        <v>1.7</v>
      </c>
      <c r="F7" t="n">
        <v>2</v>
      </c>
      <c r="G7" t="n">
        <v>1</v>
      </c>
      <c r="H7" t="n">
        <v>1.2</v>
      </c>
      <c r="I7" t="n">
        <v>2.9</v>
      </c>
      <c r="J7" t="n">
        <v>0.9</v>
      </c>
      <c r="K7" t="n">
        <v>1.7</v>
      </c>
      <c r="L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2026-06-26T15:35:40Z</dcterms:created>
  <dcterms:modified xsi:type="dcterms:W3CDTF">2026-06-26T15:35:41Z</dcterms:modified>
</cp:coreProperties>
</file>